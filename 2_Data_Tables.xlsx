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karsh\OneDrive\excel\"/>
    </mc:Choice>
  </mc:AlternateContent>
  <xr:revisionPtr revIDLastSave="0" documentId="13_ncr:1_{15238319-E91D-48F7-8416-DB9F09117D4E}" xr6:coauthVersionLast="47" xr6:coauthVersionMax="47" xr10:uidLastSave="{00000000-0000-0000-0000-000000000000}"/>
  <bookViews>
    <workbookView xWindow="-110" yWindow="-110" windowWidth="19420" windowHeight="11500" activeTab="1" xr2:uid="{6C37AC85-509F-4D10-9DB1-F70D16D6FBAB}"/>
  </bookViews>
  <sheets>
    <sheet name="Original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Original!$C$3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Original!$C$4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Original!$C$4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Original!$C$5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K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J3" i="3"/>
  <c r="C14" i="3"/>
  <c r="L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<sst xmlns="http://schemas.openxmlformats.org/spreadsheetml/2006/main" count="52" uniqueCount="17">
  <si>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</si>
  <si>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</si>
  <si>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</si>
  <si>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</si>
  <si>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</si>
  <si>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</si>
  <si>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</si>
  <si>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</si>
  <si>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</si>
  <si>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</si>
  <si>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</si>
  <si>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</si>
  <si>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</si>
  <si>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Year 5</t>
  </si>
  <si>
    <t>total</t>
  </si>
  <si>
    <t xml:space="preserve"> bonus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</si>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</sst>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55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6" fontId="2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0" fillId="0" borderId="20" xfId="0" applyNumberFormat="1" applyBorder="1"/>
    <xf numFmtId="0" fontId="0" fillId="0" borderId="1" xfId="0" applyBorder="1"/>
    <xf numFmtId="0" fontId="0" fillId="0" borderId="3" xfId="0" applyBorder="1"/>
    <xf numFmtId="165" fontId="6" fillId="0" borderId="21" xfId="2" applyNumberFormat="1" applyFont="1" applyBorder="1"/>
    <xf numFmtId="165" fontId="0" fillId="0" borderId="22" xfId="1" applyNumberFormat="1" applyFont="1" applyBorder="1"/>
    <xf numFmtId="165" fontId="0" fillId="0" borderId="23" xfId="1" applyNumberFormat="1" applyFont="1" applyBorder="1"/>
    <xf numFmtId="0" fontId="0" fillId="0" borderId="24" xfId="0" applyBorder="1"/>
    <xf numFmtId="165" fontId="0" fillId="0" borderId="21" xfId="1" applyNumberFormat="1" applyFont="1" applyBorder="1"/>
    <xf numFmtId="0" fontId="0" fillId="0" borderId="0" xfId="0" applyBorder="1"/>
    <xf numFmtId="2" fontId="0" fillId="0" borderId="1" xfId="0" applyNumberFormat="1" applyBorder="1"/>
    <xf numFmtId="165" fontId="10" fillId="0" borderId="4" xfId="0" applyNumberFormat="1" applyFont="1" applyBorder="1"/>
    <xf numFmtId="165" fontId="0" fillId="0" borderId="0" xfId="0" applyNumberFormat="1" applyBorder="1"/>
    <xf numFmtId="2" fontId="0" fillId="0" borderId="0" xfId="0" applyNumberFormat="1" applyBorder="1"/>
    <xf numFmtId="0" fontId="2" fillId="0" borderId="2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9" fillId="0" borderId="26" xfId="2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9" fontId="9" fillId="0" borderId="0" xfId="2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O14"/>
  <sheetViews>
    <sheetView zoomScaleNormal="100" workbookViewId="0">
      <selection activeCell="M19" sqref="M19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  <col min="12" max="12" width="10.36328125" bestFit="1" customWidth="1"/>
  </cols>
  <sheetData>
    <row r="1" spans="2:15" ht="15" thickBot="1" x14ac:dyDescent="0.4"/>
    <row r="2" spans="2:15" ht="15" thickBot="1" x14ac:dyDescent="0.4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13</v>
      </c>
      <c r="L2" s="5" t="s">
        <v>14</v>
      </c>
    </row>
    <row r="3" spans="2:15" ht="15" thickBot="1" x14ac:dyDescent="0.4">
      <c r="B3" s="6" t="s">
        <v>0</v>
      </c>
      <c r="C3" s="25">
        <v>100000</v>
      </c>
      <c r="E3" s="11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C12</f>
        <v>115024.62124999997</v>
      </c>
      <c r="K3" s="38">
        <f>C13</f>
        <v>116749.99056874996</v>
      </c>
      <c r="L3" s="35">
        <f>C14</f>
        <v>566749.36181874992</v>
      </c>
    </row>
    <row r="4" spans="2:15" ht="15" thickBot="1" x14ac:dyDescent="0.4">
      <c r="B4" s="6" t="s">
        <v>1</v>
      </c>
      <c r="C4" s="26">
        <v>0.1</v>
      </c>
      <c r="E4" s="16">
        <v>0</v>
      </c>
      <c r="F4" s="1">
        <f t="dataTable" ref="F4:L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42">
        <v>110000.00000000001</v>
      </c>
      <c r="L4" s="44">
        <v>550000.00000000012</v>
      </c>
    </row>
    <row r="5" spans="2:15" ht="15" thickBot="1" x14ac:dyDescent="0.4">
      <c r="B5" s="8" t="s">
        <v>2</v>
      </c>
      <c r="C5" s="27">
        <v>1.4999999999999999E-2</v>
      </c>
      <c r="E5" s="16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111658.26374999997</v>
      </c>
      <c r="K5" s="39">
        <v>112216.55506874995</v>
      </c>
      <c r="L5" s="36">
        <v>555527.56881874998</v>
      </c>
    </row>
    <row r="6" spans="2:15" ht="15" thickBot="1" x14ac:dyDescent="0.4">
      <c r="E6" s="16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113333.11</v>
      </c>
      <c r="K6" s="39">
        <v>114466.44110000001</v>
      </c>
      <c r="L6" s="36">
        <v>561110.55110000004</v>
      </c>
      <c r="O6" s="41"/>
    </row>
    <row r="7" spans="2:15" ht="15" thickBot="1" x14ac:dyDescent="0.4">
      <c r="B7" s="28" t="s">
        <v>10</v>
      </c>
      <c r="C7" s="29"/>
      <c r="E7" s="16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115024.62124999997</v>
      </c>
      <c r="K7" s="39">
        <v>116749.99056874996</v>
      </c>
      <c r="L7" s="36">
        <v>566749.36181874992</v>
      </c>
    </row>
    <row r="8" spans="2:15" ht="15" thickBot="1" x14ac:dyDescent="0.4">
      <c r="B8" s="14" t="s">
        <v>11</v>
      </c>
      <c r="C8" s="15" t="s">
        <v>12</v>
      </c>
      <c r="E8" s="16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116732.87999999999</v>
      </c>
      <c r="K8" s="39">
        <v>119067.53760000001</v>
      </c>
      <c r="L8" s="36">
        <v>572444.41760000004</v>
      </c>
    </row>
    <row r="9" spans="2:15" ht="15" thickBot="1" x14ac:dyDescent="0.4">
      <c r="B9" s="9">
        <v>0</v>
      </c>
      <c r="C9" s="7">
        <f>(base*(1+raise)^B9)*(1+bonus)</f>
        <v>110000.00000000001</v>
      </c>
      <c r="E9" s="16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118457.96875</v>
      </c>
      <c r="K9" s="39">
        <v>121419.41796874997</v>
      </c>
      <c r="L9" s="36">
        <v>578196.13671875</v>
      </c>
    </row>
    <row r="10" spans="2:15" ht="15" thickBot="1" x14ac:dyDescent="0.4">
      <c r="B10" s="9">
        <v>1</v>
      </c>
      <c r="C10" s="7">
        <f>(base*(1+raise)^B10)*(1+bonus)</f>
        <v>111650</v>
      </c>
      <c r="E10" s="16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120199.97</v>
      </c>
      <c r="K10" s="39">
        <v>123805.9691</v>
      </c>
      <c r="L10" s="36">
        <v>584004.93910000008</v>
      </c>
    </row>
    <row r="11" spans="2:15" ht="15" thickBot="1" x14ac:dyDescent="0.4">
      <c r="B11" s="9">
        <v>2</v>
      </c>
      <c r="C11" s="7">
        <f>(base*(1+raise)^B11)*(1+bonus)</f>
        <v>113324.74999999997</v>
      </c>
      <c r="E11" s="16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121958.96624999998</v>
      </c>
      <c r="K11" s="39">
        <v>126227.53006874998</v>
      </c>
      <c r="L11" s="36">
        <v>589871.24631874997</v>
      </c>
    </row>
    <row r="12" spans="2:15" ht="15" thickBot="1" x14ac:dyDescent="0.4">
      <c r="B12" s="9">
        <v>3</v>
      </c>
      <c r="C12" s="7">
        <f>(base*(1+raise)^B12)*(1+bonus)</f>
        <v>115024.62124999997</v>
      </c>
      <c r="E12" s="32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123735.04000000002</v>
      </c>
      <c r="K12" s="40">
        <v>128684.44160000002</v>
      </c>
      <c r="L12" s="37">
        <v>595795.48160000006</v>
      </c>
    </row>
    <row r="13" spans="2:15" x14ac:dyDescent="0.35">
      <c r="B13" s="9">
        <v>4</v>
      </c>
      <c r="C13" s="7">
        <f>(base*(1+raise)^B13)*(1+bonus)</f>
        <v>116749.99056874996</v>
      </c>
      <c r="K13" s="43"/>
    </row>
    <row r="14" spans="2:15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3:K12">
    <cfRule type="colorScale" priority="2">
      <colorScale>
        <cfvo type="min"/>
        <cfvo type="max"/>
        <color theme="3" tint="0.89999084444715716"/>
        <color theme="3" tint="0.499984740745262"/>
      </colorScale>
    </cfRule>
  </conditionalFormatting>
  <conditionalFormatting sqref="L3:L12">
    <cfRule type="colorScale" priority="1">
      <colorScale>
        <cfvo type="min"/>
        <cfvo type="max"/>
        <color theme="4" tint="0.79998168889431442"/>
        <color theme="4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2A05-5FA4-4690-AF55-D841613D92DA}">
  <dimension ref="B1:O14"/>
  <sheetViews>
    <sheetView tabSelected="1" zoomScale="106" zoomScaleNormal="100" workbookViewId="0">
      <selection activeCell="M7" sqref="M7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  <col min="12" max="12" width="10.36328125" bestFit="1" customWidth="1"/>
  </cols>
  <sheetData>
    <row r="1" spans="2:15" ht="15" thickBot="1" x14ac:dyDescent="0.4"/>
    <row r="2" spans="2:15" ht="15" thickBot="1" x14ac:dyDescent="0.4">
      <c r="B2" s="28" t="s">
        <v>9</v>
      </c>
      <c r="C2" s="29"/>
      <c r="E2" s="48" t="s">
        <v>2</v>
      </c>
      <c r="F2" s="51" t="s">
        <v>15</v>
      </c>
      <c r="G2" s="49"/>
      <c r="H2" s="49"/>
      <c r="I2" s="49"/>
      <c r="J2" s="49"/>
      <c r="K2" s="53"/>
      <c r="L2" s="52"/>
    </row>
    <row r="3" spans="2:15" ht="15" thickBot="1" x14ac:dyDescent="0.4">
      <c r="B3" s="6" t="s">
        <v>0</v>
      </c>
      <c r="C3" s="25">
        <v>100000</v>
      </c>
      <c r="E3" s="45">
        <f>C14</f>
        <v>566749.36181874992</v>
      </c>
      <c r="F3" s="50">
        <v>0</v>
      </c>
      <c r="G3" s="50">
        <v>0.05</v>
      </c>
      <c r="H3" s="50">
        <v>0.1</v>
      </c>
      <c r="I3" s="50">
        <v>0.15</v>
      </c>
      <c r="J3" s="50">
        <v>0.2</v>
      </c>
      <c r="K3" s="54">
        <v>0.25</v>
      </c>
      <c r="L3" s="46"/>
    </row>
    <row r="4" spans="2:15" ht="15" thickBot="1" x14ac:dyDescent="0.4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1">
        <v>625000</v>
      </c>
      <c r="L4" s="47"/>
    </row>
    <row r="5" spans="2:15" ht="15" thickBot="1" x14ac:dyDescent="0.4">
      <c r="B5" s="8" t="s">
        <v>2</v>
      </c>
      <c r="C5" s="27">
        <v>1.4999999999999999E-2</v>
      </c>
      <c r="E5" s="16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1">
        <v>631281.32820312493</v>
      </c>
      <c r="L5" s="43"/>
    </row>
    <row r="6" spans="2:15" ht="15" thickBot="1" x14ac:dyDescent="0.4">
      <c r="E6" s="16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1">
        <v>637625.62624999997</v>
      </c>
      <c r="L6" s="43"/>
      <c r="O6" s="41"/>
    </row>
    <row r="7" spans="2:15" ht="15" thickBot="1" x14ac:dyDescent="0.4">
      <c r="B7" s="28" t="s">
        <v>10</v>
      </c>
      <c r="C7" s="29"/>
      <c r="E7" s="16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1">
        <v>644033.3657031249</v>
      </c>
      <c r="L7" s="43"/>
      <c r="M7" t="s">
        <v>16</v>
      </c>
    </row>
    <row r="8" spans="2:15" ht="15" thickBot="1" x14ac:dyDescent="0.4">
      <c r="B8" s="14" t="s">
        <v>11</v>
      </c>
      <c r="C8" s="15" t="s">
        <v>12</v>
      </c>
      <c r="E8" s="16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1">
        <v>650505.02</v>
      </c>
      <c r="L8" s="43"/>
    </row>
    <row r="9" spans="2:15" ht="15" thickBot="1" x14ac:dyDescent="0.4">
      <c r="B9" s="9">
        <v>0</v>
      </c>
      <c r="C9" s="7">
        <f>(base*(1+raise)^B9)*(1+bonus)</f>
        <v>110000.00000000001</v>
      </c>
      <c r="E9" s="16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1">
        <v>657041.064453125</v>
      </c>
      <c r="L9" s="43"/>
    </row>
    <row r="10" spans="2:15" ht="15" thickBot="1" x14ac:dyDescent="0.4">
      <c r="B10" s="9">
        <v>1</v>
      </c>
      <c r="C10" s="7">
        <f>(base*(1+raise)^B10)*(1+bonus)</f>
        <v>111650</v>
      </c>
      <c r="E10" s="16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1">
        <v>663641.97625000007</v>
      </c>
      <c r="L10" s="43"/>
    </row>
    <row r="11" spans="2:15" ht="15" thickBot="1" x14ac:dyDescent="0.4">
      <c r="B11" s="9">
        <v>2</v>
      </c>
      <c r="C11" s="7">
        <f>(base*(1+raise)^B11)*(1+bonus)</f>
        <v>113324.74999999997</v>
      </c>
      <c r="E11" s="16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1">
        <v>670308.23445312493</v>
      </c>
      <c r="L11" s="43"/>
    </row>
    <row r="12" spans="2:15" ht="15" thickBot="1" x14ac:dyDescent="0.4">
      <c r="B12" s="9">
        <v>3</v>
      </c>
      <c r="C12" s="7">
        <f>(base*(1+raise)^B12)*(1+bonus)</f>
        <v>115024.62124999997</v>
      </c>
      <c r="E12" s="32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1">
        <v>677040.32000000007</v>
      </c>
      <c r="L12" s="43"/>
    </row>
    <row r="13" spans="2:15" x14ac:dyDescent="0.35">
      <c r="B13" s="9">
        <v>4</v>
      </c>
      <c r="C13" s="7">
        <f>(base*(1+raise)^B13)*(1+bonus)</f>
        <v>116749.99056874996</v>
      </c>
      <c r="K13" s="43"/>
      <c r="L13" s="43"/>
    </row>
    <row r="14" spans="2:15" ht="15" thickBot="1" x14ac:dyDescent="0.4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L2"/>
  </mergeCells>
  <conditionalFormatting sqref="F4:K12">
    <cfRule type="colorScale" priority="2">
      <colorScale>
        <cfvo type="min"/>
        <cfvo type="max"/>
        <color rgb="FFFCFCFF"/>
        <color rgb="FF63BE7B"/>
      </colorScale>
    </cfRule>
    <cfRule type="colorScale" priority="1">
      <colorScale>
        <cfvo type="min"/>
        <cfvo type="max"/>
        <color theme="3" tint="0.89999084444715716"/>
        <color theme="3" tint="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4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4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Original</vt:lpstr>
      <vt:lpstr>two_input</vt:lpstr>
      <vt:lpstr>Data_Table_One-Input</vt:lpstr>
      <vt:lpstr>Data_Table_Two-Input</vt:lpstr>
      <vt:lpstr>'Data_Table_Two-Input'!base</vt:lpstr>
      <vt:lpstr>Original!base</vt:lpstr>
      <vt:lpstr>two_input!base</vt:lpstr>
      <vt:lpstr>base</vt:lpstr>
      <vt:lpstr>'Data_Table_Two-Input'!bonus</vt:lpstr>
      <vt:lpstr>Original!bonus</vt:lpstr>
      <vt:lpstr>two_input!bonus</vt:lpstr>
      <vt:lpstr>bonus</vt:lpstr>
      <vt:lpstr>'Data_Table_Two-Input'!bonuys</vt:lpstr>
      <vt:lpstr>Original!bonuys</vt:lpstr>
      <vt:lpstr>two_input!bonuys</vt:lpstr>
      <vt:lpstr>bonuys</vt:lpstr>
      <vt:lpstr>'Data_Table_Two-Input'!raise</vt:lpstr>
      <vt:lpstr>Original!raise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Utkarsh Pal</cp:lastModifiedBy>
  <dcterms:created xsi:type="dcterms:W3CDTF">2024-08-08T18:34:47Z</dcterms:created>
  <dcterms:modified xsi:type="dcterms:W3CDTF">2026-04-05T16:15:10Z</dcterms:modified>
</cp:coreProperties>
</file>